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MwgOs6oaOPaJzV4aVOOOaPgx/6HUxXz+hjYAl9Wju4="/>
    </ext>
  </extLst>
</workbook>
</file>

<file path=xl/sharedStrings.xml><?xml version="1.0" encoding="utf-8"?>
<sst xmlns="http://schemas.openxmlformats.org/spreadsheetml/2006/main" count="55" uniqueCount="41">
  <si>
    <t>Name</t>
  </si>
  <si>
    <t>State</t>
  </si>
  <si>
    <t>No. Clients</t>
  </si>
  <si>
    <t>Sales</t>
  </si>
  <si>
    <t>Max Item Value</t>
  </si>
  <si>
    <t>Avg. Sales per Client</t>
  </si>
  <si>
    <t>Commission</t>
  </si>
  <si>
    <t>Alex</t>
  </si>
  <si>
    <t>NY</t>
  </si>
  <si>
    <t>Ben</t>
  </si>
  <si>
    <t>NJ</t>
  </si>
  <si>
    <t>Sum of sales (&gt;500)</t>
  </si>
  <si>
    <t>Frank</t>
  </si>
  <si>
    <t>CA</t>
  </si>
  <si>
    <t>NY sales</t>
  </si>
  <si>
    <t>Deshawn</t>
  </si>
  <si>
    <t>Avg Sales (NY)</t>
  </si>
  <si>
    <t>Mike</t>
  </si>
  <si>
    <t>MA</t>
  </si>
  <si>
    <t>Max Sales (NY)</t>
  </si>
  <si>
    <t>Rachel</t>
  </si>
  <si>
    <t>TX</t>
  </si>
  <si>
    <t xml:space="preserve">Max Sales (NY) w/ Item Val &lt;$400 </t>
  </si>
  <si>
    <t>Bill</t>
  </si>
  <si>
    <t>Stephan</t>
  </si>
  <si>
    <t>Jill A.</t>
  </si>
  <si>
    <t>Mark C.</t>
  </si>
  <si>
    <t>VT</t>
  </si>
  <si>
    <t>No Salespeople</t>
  </si>
  <si>
    <t>Alejandro</t>
  </si>
  <si>
    <t>AZ</t>
  </si>
  <si>
    <t>Sarah</t>
  </si>
  <si>
    <t>CT</t>
  </si>
  <si>
    <t>Amy</t>
  </si>
  <si>
    <t>Josh</t>
  </si>
  <si>
    <t>Reggie</t>
  </si>
  <si>
    <t>Jennifer</t>
  </si>
  <si>
    <t>Matt</t>
  </si>
  <si>
    <t>Laurel</t>
  </si>
  <si>
    <t>Russel</t>
  </si>
  <si>
    <t>Mark 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</si>
</sst>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11"/>
    <col customWidth="1" min="2" max="2" width="6.67"/>
    <col customWidth="1" min="3" max="3" width="9.0"/>
    <col customWidth="1" min="4" max="4" width="8.89"/>
    <col customWidth="1" min="5" max="5" width="13.67"/>
    <col customWidth="1" min="6" max="6" width="16.0"/>
    <col customWidth="1" min="7" max="7" width="11.11"/>
    <col customWidth="1" min="8" max="8" width="3.44"/>
    <col customWidth="1" min="9" max="9" width="30.78"/>
    <col customWidth="1" min="10" max="10" width="12.11"/>
    <col customWidth="1" min="11" max="11" width="15.7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7</v>
      </c>
      <c r="B2" s="3" t="s">
        <v>8</v>
      </c>
      <c r="C2" s="3">
        <v>1.0</v>
      </c>
      <c r="D2" s="4">
        <v>964.69</v>
      </c>
      <c r="E2" s="4">
        <v>100.0</v>
      </c>
      <c r="F2" s="4">
        <f t="shared" ref="F2:F21" si="1">D2/C2</f>
        <v>964.69</v>
      </c>
      <c r="G2" s="4">
        <v>96.46900000000001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9</v>
      </c>
      <c r="B3" s="3" t="s">
        <v>10</v>
      </c>
      <c r="C3" s="3">
        <v>4.0</v>
      </c>
      <c r="D3" s="4">
        <v>877.2</v>
      </c>
      <c r="E3" s="4">
        <v>100.0</v>
      </c>
      <c r="F3" s="4">
        <f t="shared" si="1"/>
        <v>219.3</v>
      </c>
      <c r="G3" s="4">
        <v>87.72000000000001</v>
      </c>
      <c r="H3" s="3"/>
      <c r="I3" s="5" t="s">
        <v>11</v>
      </c>
      <c r="J3" s="6">
        <f>SUMIF(D2:D21, "&gt;500")</f>
        <v>19007.61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12</v>
      </c>
      <c r="B4" s="3" t="s">
        <v>13</v>
      </c>
      <c r="C4" s="3">
        <v>2.0</v>
      </c>
      <c r="D4" s="4">
        <v>1110.9</v>
      </c>
      <c r="E4" s="4">
        <v>121.0</v>
      </c>
      <c r="F4" s="4">
        <f t="shared" si="1"/>
        <v>555.45</v>
      </c>
      <c r="G4" s="4">
        <v>111.09000000000002</v>
      </c>
      <c r="H4" s="3"/>
      <c r="I4" s="6" t="s">
        <v>14</v>
      </c>
      <c r="J4" s="6">
        <f>SUMIF(B2:B21, "NY", D2:D21)</f>
        <v>5417.3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15</v>
      </c>
      <c r="B5" s="3" t="s">
        <v>13</v>
      </c>
      <c r="C5" s="3">
        <v>2.0</v>
      </c>
      <c r="D5" s="4">
        <v>1794.92</v>
      </c>
      <c r="E5" s="4">
        <v>400.0</v>
      </c>
      <c r="F5" s="4">
        <f t="shared" si="1"/>
        <v>897.46</v>
      </c>
      <c r="G5" s="4">
        <v>179.49200000000002</v>
      </c>
      <c r="H5" s="3"/>
      <c r="I5" s="6" t="s">
        <v>16</v>
      </c>
      <c r="J5" s="6">
        <f>AVERAGEIF(B2:B21, "NY", D2:D21)</f>
        <v>902.8833333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17</v>
      </c>
      <c r="B6" s="3" t="s">
        <v>18</v>
      </c>
      <c r="C6" s="3">
        <v>3.0</v>
      </c>
      <c r="D6" s="4">
        <v>1198.91</v>
      </c>
      <c r="E6" s="4">
        <v>340.0</v>
      </c>
      <c r="F6" s="4">
        <f t="shared" si="1"/>
        <v>399.6366667</v>
      </c>
      <c r="G6" s="4">
        <v>119.89100000000002</v>
      </c>
      <c r="H6" s="3"/>
      <c r="I6" s="6" t="s">
        <v>19</v>
      </c>
      <c r="J6" s="6">
        <f>MAXIFS(D2:D21, B2:B21, "NY")</f>
        <v>1666.61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20</v>
      </c>
      <c r="B7" s="3" t="s">
        <v>21</v>
      </c>
      <c r="C7" s="3">
        <v>4.0</v>
      </c>
      <c r="D7" s="4">
        <v>168.36</v>
      </c>
      <c r="E7" s="4">
        <v>37.0</v>
      </c>
      <c r="F7" s="4">
        <f t="shared" si="1"/>
        <v>42.09</v>
      </c>
      <c r="G7" s="4">
        <v>16.836000000000002</v>
      </c>
      <c r="H7" s="3"/>
      <c r="I7" s="5" t="s">
        <v>22</v>
      </c>
      <c r="J7" s="5">
        <f>MAXIFS(D2:D21, B2:B21, "NY", E2:E21, "&lt;400")</f>
        <v>964.69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23</v>
      </c>
      <c r="B8" s="3" t="s">
        <v>8</v>
      </c>
      <c r="C8" s="3">
        <v>3.0</v>
      </c>
      <c r="D8" s="4">
        <v>1666.61</v>
      </c>
      <c r="E8" s="4">
        <v>450.0</v>
      </c>
      <c r="F8" s="4">
        <f t="shared" si="1"/>
        <v>555.5366667</v>
      </c>
      <c r="G8" s="4">
        <v>166.661</v>
      </c>
      <c r="H8" s="3"/>
      <c r="I8" s="3"/>
      <c r="J8" s="3"/>
      <c r="K8" s="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24</v>
      </c>
      <c r="B9" s="3" t="s">
        <v>8</v>
      </c>
      <c r="C9" s="3">
        <v>1.0</v>
      </c>
      <c r="D9" s="4">
        <v>910.29</v>
      </c>
      <c r="E9" s="4">
        <v>500.0</v>
      </c>
      <c r="F9" s="4">
        <f t="shared" si="1"/>
        <v>910.29</v>
      </c>
      <c r="G9" s="4">
        <v>91.029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25</v>
      </c>
      <c r="B10" s="3" t="s">
        <v>8</v>
      </c>
      <c r="C10" s="3">
        <v>2.0</v>
      </c>
      <c r="D10" s="4">
        <v>631.69</v>
      </c>
      <c r="E10" s="4">
        <v>100.0</v>
      </c>
      <c r="F10" s="4">
        <f t="shared" si="1"/>
        <v>315.845</v>
      </c>
      <c r="G10" s="4">
        <v>63.16900000000001</v>
      </c>
      <c r="H10" s="3"/>
      <c r="I10" s="6" t="s">
        <v>1</v>
      </c>
      <c r="J10" s="6" t="s">
        <v>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26</v>
      </c>
      <c r="B11" s="3" t="s">
        <v>27</v>
      </c>
      <c r="C11" s="3">
        <v>1.0</v>
      </c>
      <c r="D11" s="4">
        <v>765.32</v>
      </c>
      <c r="E11" s="4">
        <v>55.0</v>
      </c>
      <c r="F11" s="4">
        <f t="shared" si="1"/>
        <v>765.32</v>
      </c>
      <c r="G11" s="4">
        <v>76.53200000000001</v>
      </c>
      <c r="H11" s="3"/>
      <c r="I11" s="6" t="s">
        <v>28</v>
      </c>
      <c r="J11" s="6">
        <f>COUNTIF(B2:B21, "NY")</f>
        <v>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29</v>
      </c>
      <c r="B12" s="3" t="s">
        <v>30</v>
      </c>
      <c r="C12" s="3">
        <v>2.0</v>
      </c>
      <c r="D12" s="4">
        <v>1336.68</v>
      </c>
      <c r="E12" s="4">
        <v>110.0</v>
      </c>
      <c r="F12" s="4">
        <f t="shared" si="1"/>
        <v>668.34</v>
      </c>
      <c r="G12" s="4">
        <v>133.668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31</v>
      </c>
      <c r="B13" s="3" t="s">
        <v>32</v>
      </c>
      <c r="C13" s="3">
        <v>1.0</v>
      </c>
      <c r="D13" s="4">
        <v>709.16</v>
      </c>
      <c r="E13" s="4">
        <v>70.0</v>
      </c>
      <c r="F13" s="4">
        <f t="shared" si="1"/>
        <v>709.16</v>
      </c>
      <c r="G13" s="4">
        <v>70.916</v>
      </c>
      <c r="H13" s="3"/>
      <c r="I13" s="3">
        <f>COUNTIFS(B2:B21, "NY", C2:C21, "1")</f>
        <v>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33</v>
      </c>
      <c r="B14" s="3" t="s">
        <v>8</v>
      </c>
      <c r="C14" s="3">
        <v>1.0</v>
      </c>
      <c r="D14" s="4">
        <v>332.58</v>
      </c>
      <c r="E14" s="4">
        <v>55.0</v>
      </c>
      <c r="F14" s="4">
        <f t="shared" si="1"/>
        <v>332.58</v>
      </c>
      <c r="G14" s="4">
        <v>33.258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34</v>
      </c>
      <c r="B15" s="3" t="s">
        <v>8</v>
      </c>
      <c r="C15" s="3">
        <v>1.0</v>
      </c>
      <c r="D15" s="4">
        <v>911.44</v>
      </c>
      <c r="E15" s="4">
        <v>400.0</v>
      </c>
      <c r="F15" s="4">
        <f t="shared" si="1"/>
        <v>911.44</v>
      </c>
      <c r="G15" s="4">
        <v>91.144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35</v>
      </c>
      <c r="B16" s="3" t="s">
        <v>30</v>
      </c>
      <c r="C16" s="3">
        <v>4.0</v>
      </c>
      <c r="D16" s="4">
        <v>389.49</v>
      </c>
      <c r="E16" s="4">
        <v>37.0</v>
      </c>
      <c r="F16" s="4">
        <f t="shared" si="1"/>
        <v>97.3725</v>
      </c>
      <c r="G16" s="4">
        <v>38.949000000000005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36</v>
      </c>
      <c r="B17" s="3" t="s">
        <v>13</v>
      </c>
      <c r="C17" s="3">
        <v>3.0</v>
      </c>
      <c r="D17" s="4">
        <v>2133.58</v>
      </c>
      <c r="E17" s="4">
        <v>500.0</v>
      </c>
      <c r="F17" s="4">
        <f t="shared" si="1"/>
        <v>711.1933333</v>
      </c>
      <c r="G17" s="4">
        <v>213.358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37</v>
      </c>
      <c r="B18" s="3" t="s">
        <v>10</v>
      </c>
      <c r="C18" s="3">
        <v>4.0</v>
      </c>
      <c r="D18" s="4">
        <v>195.45</v>
      </c>
      <c r="E18" s="4">
        <v>70.0</v>
      </c>
      <c r="F18" s="4">
        <f t="shared" si="1"/>
        <v>48.8625</v>
      </c>
      <c r="G18" s="4">
        <v>19.545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38</v>
      </c>
      <c r="B19" s="3" t="s">
        <v>10</v>
      </c>
      <c r="C19" s="3">
        <v>3.0</v>
      </c>
      <c r="D19" s="4">
        <v>831.28</v>
      </c>
      <c r="E19" s="4">
        <v>121.0</v>
      </c>
      <c r="F19" s="4">
        <f t="shared" si="1"/>
        <v>277.0933333</v>
      </c>
      <c r="G19" s="4">
        <v>83.128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39</v>
      </c>
      <c r="B20" s="3" t="s">
        <v>21</v>
      </c>
      <c r="C20" s="3">
        <v>2.0</v>
      </c>
      <c r="D20" s="4">
        <v>893.89</v>
      </c>
      <c r="E20" s="4">
        <v>340.0</v>
      </c>
      <c r="F20" s="4">
        <f t="shared" si="1"/>
        <v>446.945</v>
      </c>
      <c r="G20" s="4">
        <v>89.38900000000001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40</v>
      </c>
      <c r="B21" s="3" t="s">
        <v>21</v>
      </c>
      <c r="C21" s="3">
        <v>3.0</v>
      </c>
      <c r="D21" s="4">
        <v>2271.05</v>
      </c>
      <c r="E21" s="4">
        <v>500.0</v>
      </c>
      <c r="F21" s="4">
        <f t="shared" si="1"/>
        <v>757.0166667</v>
      </c>
      <c r="G21" s="4">
        <v>227.10500000000002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4"/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4"/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4"/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4"/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4"/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4"/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4"/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4"/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4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4"/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4"/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4"/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4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4"/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4"/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4"/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4"/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4"/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4"/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4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4"/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4"/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4"/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4"/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4"/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4"/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4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4"/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4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4"/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4"/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4"/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4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4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4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4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4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4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4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4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4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4"/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4"/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4"/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4"/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4"/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4"/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4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4"/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4"/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4"/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4"/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4"/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4"/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4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4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4"/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4"/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4"/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4"/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4"/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4"/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4"/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4"/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4"/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4"/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4"/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4"/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4"/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4"/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4"/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4"/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4"/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4"/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4"/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4"/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4"/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4"/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4"/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4"/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4"/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4"/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4"/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4"/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4"/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4"/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4"/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4"/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4"/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4"/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4"/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4"/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4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4"/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4"/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4"/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4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4"/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4"/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4"/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4"/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4"/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4"/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4"/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4"/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4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4"/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4"/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4"/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4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4"/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4"/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4"/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4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4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4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4"/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4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4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4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4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4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4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4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4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4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4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4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4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4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4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4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4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4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4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4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4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4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4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4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4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4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4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4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4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4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4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4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4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4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4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4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4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4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4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4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4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4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4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4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4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4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4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4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4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4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4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4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4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4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4"/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4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4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4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4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4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4"/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4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4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4"/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4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4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4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4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4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4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4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4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4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4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4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4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4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4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4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4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4"/>
      <c r="E218" s="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4"/>
      <c r="E219" s="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4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4"/>
      <c r="E221" s="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4"/>
      <c r="E222" s="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4"/>
      <c r="E223" s="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4"/>
      <c r="E224" s="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4"/>
      <c r="E225" s="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4"/>
      <c r="E226" s="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4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4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4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4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4"/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4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4"/>
      <c r="E233" s="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4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4"/>
      <c r="E235" s="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4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4"/>
      <c r="E237" s="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4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4"/>
      <c r="E239" s="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4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4"/>
      <c r="E241" s="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4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4"/>
      <c r="E243" s="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4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4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4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4"/>
      <c r="E247" s="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4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4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4"/>
      <c r="E250" s="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4"/>
      <c r="E251" s="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4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4"/>
      <c r="E253" s="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4"/>
      <c r="E254" s="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4"/>
      <c r="E255" s="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4"/>
      <c r="E256" s="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4"/>
      <c r="E257" s="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4"/>
      <c r="E258" s="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4"/>
      <c r="E259" s="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4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4"/>
      <c r="E261" s="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4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4"/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4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4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4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4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4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4"/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4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4"/>
      <c r="E271" s="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4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4"/>
      <c r="E273" s="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4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4"/>
      <c r="E275" s="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4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4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4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4"/>
      <c r="E279" s="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4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4"/>
      <c r="E281" s="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4"/>
      <c r="E282" s="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4"/>
      <c r="E283" s="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4"/>
      <c r="E284" s="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4"/>
      <c r="E285" s="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4"/>
      <c r="E286" s="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4"/>
      <c r="E287" s="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4"/>
      <c r="E288" s="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4"/>
      <c r="E289" s="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4"/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4"/>
      <c r="E291" s="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4"/>
      <c r="E292" s="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4"/>
      <c r="E293" s="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4"/>
      <c r="E294" s="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4"/>
      <c r="E295" s="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4"/>
      <c r="E296" s="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4"/>
      <c r="E297" s="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4"/>
      <c r="E298" s="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4"/>
      <c r="E299" s="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4"/>
      <c r="E300" s="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4"/>
      <c r="E301" s="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4"/>
      <c r="E302" s="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4"/>
      <c r="E303" s="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4"/>
      <c r="E304" s="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4"/>
      <c r="E305" s="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4"/>
      <c r="E306" s="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4"/>
      <c r="E307" s="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4"/>
      <c r="E308" s="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4"/>
      <c r="E309" s="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4"/>
      <c r="E310" s="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4"/>
      <c r="E311" s="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4"/>
      <c r="E312" s="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4"/>
      <c r="E313" s="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4"/>
      <c r="E314" s="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4"/>
      <c r="E315" s="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4"/>
      <c r="E316" s="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4"/>
      <c r="E317" s="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4"/>
      <c r="E318" s="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4"/>
      <c r="E319" s="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4"/>
      <c r="E320" s="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4"/>
      <c r="E321" s="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4"/>
      <c r="E322" s="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4"/>
      <c r="E323" s="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4"/>
      <c r="E324" s="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4"/>
      <c r="E325" s="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4"/>
      <c r="E326" s="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4"/>
      <c r="E327" s="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4"/>
      <c r="E328" s="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4"/>
      <c r="E329" s="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4"/>
      <c r="E330" s="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4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4"/>
      <c r="E332" s="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4"/>
      <c r="E333" s="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4"/>
      <c r="E334" s="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4"/>
      <c r="E335" s="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4"/>
      <c r="E336" s="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4"/>
      <c r="E337" s="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4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4"/>
      <c r="E339" s="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4"/>
      <c r="E340" s="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4"/>
      <c r="E341" s="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4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4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4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4"/>
      <c r="E345" s="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4"/>
      <c r="E346" s="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4"/>
      <c r="E347" s="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4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4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4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4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4"/>
      <c r="E352" s="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4"/>
      <c r="E353" s="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4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4"/>
      <c r="E355" s="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4"/>
      <c r="E356" s="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4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4"/>
      <c r="E358" s="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4"/>
      <c r="E359" s="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4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4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4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4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4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4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4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4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4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4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4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4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4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4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4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4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4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4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4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4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4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4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4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4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4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4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4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4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4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4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4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4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4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4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4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4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4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4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4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4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4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4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4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4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4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4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4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4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4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4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4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4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4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4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4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4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4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4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4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4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4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4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4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4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4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4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4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4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4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4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4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4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4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4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4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4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4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4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4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4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4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4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4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4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4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4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4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4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4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4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4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4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4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4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4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4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4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4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4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4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4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4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4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4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4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4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4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4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4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4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4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4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4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4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4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4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4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4"/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4"/>
      <c r="E478" s="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4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4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4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4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4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4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4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4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4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4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4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4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4"/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4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4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4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4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4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4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4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4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4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4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4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4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4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4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4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4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4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4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4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4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4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4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4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4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4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4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4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4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4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4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4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4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4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4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4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4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4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4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4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4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4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4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4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4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4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4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4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4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4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4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4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4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4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4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4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4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4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4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4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4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4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4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4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4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4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4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4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4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4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4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4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4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4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4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4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4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4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4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4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4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4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4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4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4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4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4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4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4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4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4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4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4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4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4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4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4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4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4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4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4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4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4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4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4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4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4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4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4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4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4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4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4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4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4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4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4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4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4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4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4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4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4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4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4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4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4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4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4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4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4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4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4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4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4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4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4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4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4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4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4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4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4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4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4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4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4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4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4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4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4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4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4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4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4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4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4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4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4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4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4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4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4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4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4"/>
      <c r="E655" s="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4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4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4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4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4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4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4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4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4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4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4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4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4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4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4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4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4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4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4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4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4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4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4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4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4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4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4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4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4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4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4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4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4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4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4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4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4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4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4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4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4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4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4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4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4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4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4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4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4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4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4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4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4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4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4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4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4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4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4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4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4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4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4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4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4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4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4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4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4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4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4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4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4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4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4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4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4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4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4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4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4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4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4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4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4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4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4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4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4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4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4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4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4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4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4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4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4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4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4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4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4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4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4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4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4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4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4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4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4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4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4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4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4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4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4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4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4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4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4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4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4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4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4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4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4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4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4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4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4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4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4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4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4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4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4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4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4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4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4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4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4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4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4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4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4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4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4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4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4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4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4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4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4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4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4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4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4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4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4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4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4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4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4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4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4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4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4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4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4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4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4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4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4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4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4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4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4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4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4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4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4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4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4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4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4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4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4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4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4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4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4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4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4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4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4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4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4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4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4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4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4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4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4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4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4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4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4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4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4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4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4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4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4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4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4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4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4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4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4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4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4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4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4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4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4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4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4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4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4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4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4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4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4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4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4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4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4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4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4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4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4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4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4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4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4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4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4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4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4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4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4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4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4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4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4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4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4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4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4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4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4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4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4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4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4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4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4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4"/>
      <c r="E923" s="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4"/>
      <c r="E924" s="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4"/>
      <c r="E925" s="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4"/>
      <c r="E926" s="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4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4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4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4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4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4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4"/>
      <c r="E933" s="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4"/>
      <c r="E934" s="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4"/>
      <c r="E935" s="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4"/>
      <c r="E936" s="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4"/>
      <c r="E937" s="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4"/>
      <c r="E938" s="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4"/>
      <c r="E939" s="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4"/>
      <c r="E940" s="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4"/>
      <c r="E941" s="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4"/>
      <c r="E942" s="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4"/>
      <c r="E943" s="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4"/>
      <c r="E944" s="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4"/>
      <c r="E945" s="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4"/>
      <c r="E946" s="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4"/>
      <c r="E947" s="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4"/>
      <c r="E948" s="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4"/>
      <c r="E949" s="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4"/>
      <c r="E950" s="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4"/>
      <c r="E951" s="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4"/>
      <c r="E952" s="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4"/>
      <c r="E953" s="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4"/>
      <c r="E954" s="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4"/>
      <c r="E955" s="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4"/>
      <c r="E956" s="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4"/>
      <c r="E957" s="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4"/>
      <c r="E958" s="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4"/>
      <c r="E959" s="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4"/>
      <c r="E960" s="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4"/>
      <c r="E961" s="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4"/>
      <c r="E962" s="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4"/>
      <c r="E963" s="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4"/>
      <c r="E964" s="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4"/>
      <c r="E965" s="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4"/>
      <c r="E966" s="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4"/>
      <c r="E967" s="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4"/>
      <c r="E968" s="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4"/>
      <c r="E969" s="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4"/>
      <c r="E970" s="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4"/>
      <c r="E971" s="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4"/>
      <c r="E972" s="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4"/>
      <c r="E973" s="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4"/>
      <c r="E974" s="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4"/>
      <c r="E975" s="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4"/>
      <c r="E976" s="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4"/>
      <c r="E977" s="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4"/>
      <c r="E978" s="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4"/>
      <c r="E979" s="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4"/>
      <c r="E980" s="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4"/>
      <c r="E981" s="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4"/>
      <c r="E982" s="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4"/>
      <c r="E983" s="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4"/>
      <c r="E984" s="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4"/>
      <c r="E985" s="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4"/>
      <c r="E986" s="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4"/>
      <c r="E987" s="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4"/>
      <c r="E988" s="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4"/>
      <c r="E989" s="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4"/>
      <c r="E990" s="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4"/>
      <c r="E991" s="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4"/>
      <c r="E992" s="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4"/>
      <c r="E993" s="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4"/>
      <c r="E994" s="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4"/>
      <c r="E995" s="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4"/>
      <c r="E996" s="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4"/>
      <c r="E997" s="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4"/>
      <c r="E998" s="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4"/>
      <c r="E999" s="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4"/>
      <c r="E1000" s="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1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2025-02-26T01:42:06Z</dcterms:created>
</cp:coreProperties>
</file>